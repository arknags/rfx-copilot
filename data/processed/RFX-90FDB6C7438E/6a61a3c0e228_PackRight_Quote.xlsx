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s/Projects/rfx-copilot/data/inbox/"/>
    </mc:Choice>
  </mc:AlternateContent>
  <xr:revisionPtr revIDLastSave="0" documentId="13_ncr:1_{9142AD43-9C8D-B244-A112-2DD2CEBBC045}" xr6:coauthVersionLast="47" xr6:coauthVersionMax="47" xr10:uidLastSave="{00000000-0000-0000-0000-000000000000}"/>
  <bookViews>
    <workbookView xWindow="4680" yWindow="600" windowWidth="33720" windowHeight="21000" xr2:uid="{576FEAFC-16AA-4B47-B6CA-EFD25CED570E}"/>
  </bookViews>
  <sheets>
    <sheet name="PackRight_Quote.xlsx" sheetId="1" r:id="rId1"/>
    <sheet name="Questionn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</calcChain>
</file>

<file path=xl/sharedStrings.xml><?xml version="1.0" encoding="utf-8"?>
<sst xmlns="http://schemas.openxmlformats.org/spreadsheetml/2006/main" count="408" uniqueCount="108">
  <si>
    <t>item_id</t>
  </si>
  <si>
    <t>description</t>
  </si>
  <si>
    <t>ply</t>
  </si>
  <si>
    <t>flute</t>
  </si>
  <si>
    <t>outer_gsm</t>
  </si>
  <si>
    <t>dimensions_mm</t>
  </si>
  <si>
    <t>print_requirement</t>
  </si>
  <si>
    <t>moisture_resistant</t>
  </si>
  <si>
    <t>annual_quantity_sheets</t>
  </si>
  <si>
    <t>standard_unit</t>
  </si>
  <si>
    <t>delivery_location</t>
  </si>
  <si>
    <t>CS-001</t>
  </si>
  <si>
    <t>3-ply brown kraft divider sheet</t>
  </si>
  <si>
    <t>C</t>
  </si>
  <si>
    <t>600x400</t>
  </si>
  <si>
    <t>None</t>
  </si>
  <si>
    <t>No</t>
  </si>
  <si>
    <t>sheet</t>
  </si>
  <si>
    <t>Chennai warehouse</t>
  </si>
  <si>
    <t>CS-002</t>
  </si>
  <si>
    <t>700x500</t>
  </si>
  <si>
    <t>CS-003</t>
  </si>
  <si>
    <t>800x600</t>
  </si>
  <si>
    <t>CS-004</t>
  </si>
  <si>
    <t>1000x700</t>
  </si>
  <si>
    <t>CS-005</t>
  </si>
  <si>
    <t>1200x800</t>
  </si>
  <si>
    <t>CS-006</t>
  </si>
  <si>
    <t>1400x1000</t>
  </si>
  <si>
    <t>CS-007</t>
  </si>
  <si>
    <t>3-ply brown kraft interleaving sheet</t>
  </si>
  <si>
    <t>B</t>
  </si>
  <si>
    <t>500x350</t>
  </si>
  <si>
    <t>CS-008</t>
  </si>
  <si>
    <t>600x450</t>
  </si>
  <si>
    <t>CS-009</t>
  </si>
  <si>
    <t>CS-010</t>
  </si>
  <si>
    <t>CS-011</t>
  </si>
  <si>
    <t>900x650</t>
  </si>
  <si>
    <t>CS-012</t>
  </si>
  <si>
    <t>1000x750</t>
  </si>
  <si>
    <t>CS-013</t>
  </si>
  <si>
    <t>5-ply brown kraft heavy-duty sheet</t>
  </si>
  <si>
    <t>BC</t>
  </si>
  <si>
    <t>CS-014</t>
  </si>
  <si>
    <t>900x700</t>
  </si>
  <si>
    <t>CS-015</t>
  </si>
  <si>
    <t>1000x800</t>
  </si>
  <si>
    <t>CS-016</t>
  </si>
  <si>
    <t>1100x850</t>
  </si>
  <si>
    <t>CS-017</t>
  </si>
  <si>
    <t>1200x900</t>
  </si>
  <si>
    <t>CS-018</t>
  </si>
  <si>
    <t>CS-019</t>
  </si>
  <si>
    <t>5-ply appliance protection sheet</t>
  </si>
  <si>
    <t>EBC</t>
  </si>
  <si>
    <t>CS-020</t>
  </si>
  <si>
    <t>CS-021</t>
  </si>
  <si>
    <t>CS-022</t>
  </si>
  <si>
    <t>CS-023</t>
  </si>
  <si>
    <t>3-ply white-top printable sheet</t>
  </si>
  <si>
    <t>E</t>
  </si>
  <si>
    <t>One-colour flexo</t>
  </si>
  <si>
    <t>CS-024</t>
  </si>
  <si>
    <t>CS-025</t>
  </si>
  <si>
    <t>Two-colour flexo</t>
  </si>
  <si>
    <t>CS-026</t>
  </si>
  <si>
    <t>CS-027</t>
  </si>
  <si>
    <t>5-ply moisture-resistant export sheet</t>
  </si>
  <si>
    <t>Yes</t>
  </si>
  <si>
    <t>CS-028</t>
  </si>
  <si>
    <t>CS-029</t>
  </si>
  <si>
    <t>CS-030</t>
  </si>
  <si>
    <t>vendor_name</t>
  </si>
  <si>
    <t>currency</t>
  </si>
  <si>
    <t>price_basis</t>
  </si>
  <si>
    <t>unit_price</t>
  </si>
  <si>
    <t>frieght_status</t>
  </si>
  <si>
    <t>lead_time_days</t>
  </si>
  <si>
    <t>PackRight Industries</t>
  </si>
  <si>
    <t>INR</t>
  </si>
  <si>
    <t>per sheet</t>
  </si>
  <si>
    <t>Included</t>
  </si>
  <si>
    <t>question_id</t>
  </si>
  <si>
    <t>answer</t>
  </si>
  <si>
    <t>supporting_note</t>
  </si>
  <si>
    <t>Q01</t>
  </si>
  <si>
    <t>ISO 9001 certificate available</t>
  </si>
  <si>
    <t>Q02</t>
  </si>
  <si>
    <t>Batch GSM and board-strength reports provided</t>
  </si>
  <si>
    <t>Q03</t>
  </si>
  <si>
    <t>Defect threshold commitment: maximum 2%</t>
  </si>
  <si>
    <t>Q04</t>
  </si>
  <si>
    <t>Pre-production sample provided before supply</t>
  </si>
  <si>
    <t>Q05</t>
  </si>
  <si>
    <t>Sheets per month</t>
  </si>
  <si>
    <t>Q06</t>
  </si>
  <si>
    <t>Calendar days</t>
  </si>
  <si>
    <t>Q07</t>
  </si>
  <si>
    <t>Replacement at no charge</t>
  </si>
  <si>
    <t>Q08</t>
  </si>
  <si>
    <t>Net 45 days</t>
  </si>
  <si>
    <t>Subject to invoice acceptance</t>
  </si>
  <si>
    <t>Q09</t>
  </si>
  <si>
    <t>Chennai and Sriperumbudur</t>
  </si>
  <si>
    <t>Manufacturing locations</t>
  </si>
  <si>
    <t>Q10</t>
  </si>
  <si>
    <t>Recycled-content certification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</si>
</sst>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9CA3-E1E8-B746-8B14-FC6397201389}">
  <dimension ref="A1:Q31"/>
  <sheetViews>
    <sheetView tabSelected="1" topLeftCell="F1" zoomScale="150" workbookViewId="0">
      <selection activeCell="E18" sqref="E18"/>
    </sheetView>
  </sheetViews>
  <sheetFormatPr baseColWidth="10" defaultRowHeight="16" x14ac:dyDescent="0.2"/>
  <cols>
    <col min="2" max="2" width="31.33203125" bestFit="1" customWidth="1"/>
    <col min="6" max="6" width="14.1640625" bestFit="1" customWidth="1"/>
    <col min="7" max="7" width="15.83203125" bestFit="1" customWidth="1"/>
    <col min="8" max="8" width="16.5" bestFit="1" customWidth="1"/>
    <col min="9" max="9" width="20.5" bestFit="1" customWidth="1"/>
    <col min="10" max="10" width="12.33203125" bestFit="1" customWidth="1"/>
    <col min="11" max="11" width="17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</row>
    <row r="2" spans="1:17" x14ac:dyDescent="0.2">
      <c r="A2" t="s">
        <v>11</v>
      </c>
      <c r="B2" t="s">
        <v>12</v>
      </c>
      <c r="C2">
        <v>3</v>
      </c>
      <c r="D2" t="s">
        <v>13</v>
      </c>
      <c r="E2">
        <v>120</v>
      </c>
      <c r="F2" t="s">
        <v>14</v>
      </c>
      <c r="G2" t="s">
        <v>15</v>
      </c>
      <c r="H2" t="s">
        <v>16</v>
      </c>
      <c r="I2">
        <v>120000</v>
      </c>
      <c r="J2" t="s">
        <v>17</v>
      </c>
      <c r="K2" t="s">
        <v>18</v>
      </c>
      <c r="L2" t="s">
        <v>79</v>
      </c>
      <c r="M2" t="s">
        <v>80</v>
      </c>
      <c r="N2" t="s">
        <v>81</v>
      </c>
      <c r="O2">
        <f>ROUND(25+(ROW()-2)*0.75+C2*3+E2*0.03+IF(H2="Yes",4,0)+IF(G2&lt;&gt;"None",2,0),2)</f>
        <v>37.6</v>
      </c>
      <c r="P2" t="s">
        <v>82</v>
      </c>
      <c r="Q2">
        <v>7</v>
      </c>
    </row>
    <row r="3" spans="1:17" x14ac:dyDescent="0.2">
      <c r="A3" t="s">
        <v>19</v>
      </c>
      <c r="B3" t="s">
        <v>12</v>
      </c>
      <c r="C3">
        <v>3</v>
      </c>
      <c r="D3" t="s">
        <v>13</v>
      </c>
      <c r="E3">
        <v>140</v>
      </c>
      <c r="F3" t="s">
        <v>20</v>
      </c>
      <c r="G3" t="s">
        <v>15</v>
      </c>
      <c r="H3" t="s">
        <v>16</v>
      </c>
      <c r="I3">
        <v>110000</v>
      </c>
      <c r="J3" t="s">
        <v>17</v>
      </c>
      <c r="K3" t="s">
        <v>18</v>
      </c>
      <c r="L3" t="s">
        <v>79</v>
      </c>
      <c r="M3" t="s">
        <v>80</v>
      </c>
      <c r="N3" t="s">
        <v>81</v>
      </c>
      <c r="O3">
        <f t="shared" ref="O3:O31" si="0">ROUND(25+(ROW()-2)*0.75+C3*3+E3*0.03+IF(H3="Yes",4,0)+IF(G3&lt;&gt;"None",2,0),2)</f>
        <v>38.950000000000003</v>
      </c>
      <c r="P3" t="s">
        <v>82</v>
      </c>
      <c r="Q3">
        <v>7</v>
      </c>
    </row>
    <row r="4" spans="1:17" x14ac:dyDescent="0.2">
      <c r="A4" t="s">
        <v>21</v>
      </c>
      <c r="B4" t="s">
        <v>12</v>
      </c>
      <c r="C4">
        <v>3</v>
      </c>
      <c r="D4" t="s">
        <v>13</v>
      </c>
      <c r="E4">
        <v>150</v>
      </c>
      <c r="F4" t="s">
        <v>22</v>
      </c>
      <c r="G4" t="s">
        <v>15</v>
      </c>
      <c r="H4" t="s">
        <v>16</v>
      </c>
      <c r="I4">
        <v>90000</v>
      </c>
      <c r="J4" t="s">
        <v>17</v>
      </c>
      <c r="K4" t="s">
        <v>18</v>
      </c>
      <c r="L4" t="s">
        <v>79</v>
      </c>
      <c r="M4" t="s">
        <v>80</v>
      </c>
      <c r="N4" t="s">
        <v>81</v>
      </c>
      <c r="O4">
        <f t="shared" si="0"/>
        <v>40</v>
      </c>
      <c r="P4" t="s">
        <v>82</v>
      </c>
      <c r="Q4">
        <v>7</v>
      </c>
    </row>
    <row r="5" spans="1:17" x14ac:dyDescent="0.2">
      <c r="A5" t="s">
        <v>23</v>
      </c>
      <c r="B5" t="s">
        <v>12</v>
      </c>
      <c r="C5">
        <v>3</v>
      </c>
      <c r="D5" t="s">
        <v>13</v>
      </c>
      <c r="E5">
        <v>160</v>
      </c>
      <c r="F5" t="s">
        <v>24</v>
      </c>
      <c r="G5" t="s">
        <v>15</v>
      </c>
      <c r="H5" t="s">
        <v>16</v>
      </c>
      <c r="I5">
        <v>75000</v>
      </c>
      <c r="J5" t="s">
        <v>17</v>
      </c>
      <c r="K5" t="s">
        <v>18</v>
      </c>
      <c r="L5" t="s">
        <v>79</v>
      </c>
      <c r="M5" t="s">
        <v>80</v>
      </c>
      <c r="N5" t="s">
        <v>81</v>
      </c>
      <c r="O5">
        <f t="shared" si="0"/>
        <v>41.05</v>
      </c>
      <c r="P5" t="s">
        <v>82</v>
      </c>
      <c r="Q5">
        <v>7</v>
      </c>
    </row>
    <row r="6" spans="1:17" x14ac:dyDescent="0.2">
      <c r="A6" t="s">
        <v>25</v>
      </c>
      <c r="B6" t="s">
        <v>12</v>
      </c>
      <c r="C6">
        <v>3</v>
      </c>
      <c r="D6" t="s">
        <v>13</v>
      </c>
      <c r="E6">
        <v>180</v>
      </c>
      <c r="F6" t="s">
        <v>26</v>
      </c>
      <c r="G6" t="s">
        <v>15</v>
      </c>
      <c r="H6" t="s">
        <v>16</v>
      </c>
      <c r="I6">
        <v>60000</v>
      </c>
      <c r="J6" t="s">
        <v>17</v>
      </c>
      <c r="K6" t="s">
        <v>18</v>
      </c>
      <c r="L6" t="s">
        <v>79</v>
      </c>
      <c r="M6" t="s">
        <v>80</v>
      </c>
      <c r="N6" t="s">
        <v>81</v>
      </c>
      <c r="O6">
        <f t="shared" si="0"/>
        <v>42.4</v>
      </c>
      <c r="P6" t="s">
        <v>82</v>
      </c>
      <c r="Q6">
        <v>7</v>
      </c>
    </row>
    <row r="7" spans="1:17" x14ac:dyDescent="0.2">
      <c r="A7" t="s">
        <v>27</v>
      </c>
      <c r="B7" t="s">
        <v>12</v>
      </c>
      <c r="C7">
        <v>3</v>
      </c>
      <c r="D7" t="s">
        <v>13</v>
      </c>
      <c r="E7">
        <v>180</v>
      </c>
      <c r="F7" t="s">
        <v>28</v>
      </c>
      <c r="G7" t="s">
        <v>15</v>
      </c>
      <c r="H7" t="s">
        <v>16</v>
      </c>
      <c r="I7">
        <v>40000</v>
      </c>
      <c r="J7" t="s">
        <v>17</v>
      </c>
      <c r="K7" t="s">
        <v>18</v>
      </c>
      <c r="L7" t="s">
        <v>79</v>
      </c>
      <c r="M7" t="s">
        <v>80</v>
      </c>
      <c r="N7" t="s">
        <v>81</v>
      </c>
      <c r="O7">
        <f t="shared" si="0"/>
        <v>43.15</v>
      </c>
      <c r="P7" t="s">
        <v>82</v>
      </c>
      <c r="Q7">
        <v>7</v>
      </c>
    </row>
    <row r="8" spans="1:17" x14ac:dyDescent="0.2">
      <c r="A8" t="s">
        <v>29</v>
      </c>
      <c r="B8" t="s">
        <v>30</v>
      </c>
      <c r="C8">
        <v>3</v>
      </c>
      <c r="D8" t="s">
        <v>31</v>
      </c>
      <c r="E8">
        <v>100</v>
      </c>
      <c r="F8" t="s">
        <v>32</v>
      </c>
      <c r="G8" t="s">
        <v>15</v>
      </c>
      <c r="H8" t="s">
        <v>16</v>
      </c>
      <c r="I8">
        <v>150000</v>
      </c>
      <c r="J8" t="s">
        <v>17</v>
      </c>
      <c r="K8" t="s">
        <v>18</v>
      </c>
      <c r="L8" t="s">
        <v>79</v>
      </c>
      <c r="M8" t="s">
        <v>80</v>
      </c>
      <c r="N8" t="s">
        <v>81</v>
      </c>
      <c r="O8">
        <f t="shared" si="0"/>
        <v>41.5</v>
      </c>
      <c r="P8" t="s">
        <v>82</v>
      </c>
      <c r="Q8">
        <v>7</v>
      </c>
    </row>
    <row r="9" spans="1:17" x14ac:dyDescent="0.2">
      <c r="A9" t="s">
        <v>33</v>
      </c>
      <c r="B9" t="s">
        <v>30</v>
      </c>
      <c r="C9">
        <v>3</v>
      </c>
      <c r="D9" t="s">
        <v>31</v>
      </c>
      <c r="E9">
        <v>110</v>
      </c>
      <c r="F9" t="s">
        <v>34</v>
      </c>
      <c r="G9" t="s">
        <v>15</v>
      </c>
      <c r="H9" t="s">
        <v>16</v>
      </c>
      <c r="I9">
        <v>130000</v>
      </c>
      <c r="J9" t="s">
        <v>17</v>
      </c>
      <c r="K9" t="s">
        <v>18</v>
      </c>
      <c r="L9" t="s">
        <v>79</v>
      </c>
      <c r="M9" t="s">
        <v>80</v>
      </c>
      <c r="N9" t="s">
        <v>81</v>
      </c>
      <c r="O9">
        <f t="shared" si="0"/>
        <v>42.55</v>
      </c>
      <c r="P9" t="s">
        <v>82</v>
      </c>
      <c r="Q9">
        <v>7</v>
      </c>
    </row>
    <row r="10" spans="1:17" x14ac:dyDescent="0.2">
      <c r="A10" t="s">
        <v>35</v>
      </c>
      <c r="B10" t="s">
        <v>30</v>
      </c>
      <c r="C10">
        <v>3</v>
      </c>
      <c r="D10" t="s">
        <v>31</v>
      </c>
      <c r="E10">
        <v>120</v>
      </c>
      <c r="F10" t="s">
        <v>20</v>
      </c>
      <c r="G10" t="s">
        <v>15</v>
      </c>
      <c r="H10" t="s">
        <v>16</v>
      </c>
      <c r="I10">
        <v>100000</v>
      </c>
      <c r="J10" t="s">
        <v>17</v>
      </c>
      <c r="K10" t="s">
        <v>18</v>
      </c>
      <c r="L10" t="s">
        <v>79</v>
      </c>
      <c r="M10" t="s">
        <v>80</v>
      </c>
      <c r="N10" t="s">
        <v>81</v>
      </c>
      <c r="O10">
        <f t="shared" si="0"/>
        <v>43.6</v>
      </c>
      <c r="P10" t="s">
        <v>82</v>
      </c>
      <c r="Q10">
        <v>7</v>
      </c>
    </row>
    <row r="11" spans="1:17" x14ac:dyDescent="0.2">
      <c r="A11" t="s">
        <v>36</v>
      </c>
      <c r="B11" t="s">
        <v>30</v>
      </c>
      <c r="C11">
        <v>3</v>
      </c>
      <c r="D11" t="s">
        <v>31</v>
      </c>
      <c r="E11">
        <v>140</v>
      </c>
      <c r="F11" t="s">
        <v>22</v>
      </c>
      <c r="G11" t="s">
        <v>15</v>
      </c>
      <c r="H11" t="s">
        <v>16</v>
      </c>
      <c r="I11">
        <v>85000</v>
      </c>
      <c r="J11" t="s">
        <v>17</v>
      </c>
      <c r="K11" t="s">
        <v>18</v>
      </c>
      <c r="L11" t="s">
        <v>79</v>
      </c>
      <c r="M11" t="s">
        <v>80</v>
      </c>
      <c r="N11" t="s">
        <v>81</v>
      </c>
      <c r="O11">
        <f t="shared" si="0"/>
        <v>44.95</v>
      </c>
      <c r="P11" t="s">
        <v>82</v>
      </c>
      <c r="Q11">
        <v>7</v>
      </c>
    </row>
    <row r="12" spans="1:17" x14ac:dyDescent="0.2">
      <c r="A12" t="s">
        <v>37</v>
      </c>
      <c r="B12" t="s">
        <v>30</v>
      </c>
      <c r="C12">
        <v>3</v>
      </c>
      <c r="D12" t="s">
        <v>31</v>
      </c>
      <c r="E12">
        <v>150</v>
      </c>
      <c r="F12" t="s">
        <v>38</v>
      </c>
      <c r="G12" t="s">
        <v>15</v>
      </c>
      <c r="H12" t="s">
        <v>16</v>
      </c>
      <c r="I12">
        <v>70000</v>
      </c>
      <c r="J12" t="s">
        <v>17</v>
      </c>
      <c r="K12" t="s">
        <v>18</v>
      </c>
      <c r="L12" t="s">
        <v>79</v>
      </c>
      <c r="M12" t="s">
        <v>80</v>
      </c>
      <c r="N12" t="s">
        <v>81</v>
      </c>
      <c r="O12">
        <f t="shared" si="0"/>
        <v>46</v>
      </c>
      <c r="P12" t="s">
        <v>82</v>
      </c>
      <c r="Q12">
        <v>7</v>
      </c>
    </row>
    <row r="13" spans="1:17" x14ac:dyDescent="0.2">
      <c r="A13" t="s">
        <v>39</v>
      </c>
      <c r="B13" t="s">
        <v>30</v>
      </c>
      <c r="C13">
        <v>3</v>
      </c>
      <c r="D13" t="s">
        <v>31</v>
      </c>
      <c r="E13">
        <v>160</v>
      </c>
      <c r="F13" t="s">
        <v>40</v>
      </c>
      <c r="G13" t="s">
        <v>15</v>
      </c>
      <c r="H13" t="s">
        <v>16</v>
      </c>
      <c r="I13">
        <v>55000</v>
      </c>
      <c r="J13" t="s">
        <v>17</v>
      </c>
      <c r="K13" t="s">
        <v>18</v>
      </c>
      <c r="L13" t="s">
        <v>79</v>
      </c>
      <c r="M13" t="s">
        <v>80</v>
      </c>
      <c r="N13" t="s">
        <v>81</v>
      </c>
      <c r="O13">
        <f t="shared" si="0"/>
        <v>47.05</v>
      </c>
      <c r="P13" t="s">
        <v>82</v>
      </c>
      <c r="Q13">
        <v>7</v>
      </c>
    </row>
    <row r="14" spans="1:17" x14ac:dyDescent="0.2">
      <c r="A14" t="s">
        <v>41</v>
      </c>
      <c r="B14" t="s">
        <v>42</v>
      </c>
      <c r="C14">
        <v>5</v>
      </c>
      <c r="D14" t="s">
        <v>43</v>
      </c>
      <c r="E14">
        <v>160</v>
      </c>
      <c r="F14" t="s">
        <v>22</v>
      </c>
      <c r="G14" t="s">
        <v>15</v>
      </c>
      <c r="H14" t="s">
        <v>16</v>
      </c>
      <c r="I14">
        <v>80000</v>
      </c>
      <c r="J14" t="s">
        <v>17</v>
      </c>
      <c r="K14" t="s">
        <v>18</v>
      </c>
      <c r="L14" t="s">
        <v>79</v>
      </c>
      <c r="M14" t="s">
        <v>80</v>
      </c>
      <c r="N14" t="s">
        <v>81</v>
      </c>
      <c r="O14">
        <f t="shared" si="0"/>
        <v>53.8</v>
      </c>
      <c r="P14" t="s">
        <v>82</v>
      </c>
      <c r="Q14">
        <v>7</v>
      </c>
    </row>
    <row r="15" spans="1:17" x14ac:dyDescent="0.2">
      <c r="A15" t="s">
        <v>44</v>
      </c>
      <c r="B15" t="s">
        <v>42</v>
      </c>
      <c r="C15">
        <v>5</v>
      </c>
      <c r="D15" t="s">
        <v>43</v>
      </c>
      <c r="E15">
        <v>180</v>
      </c>
      <c r="F15" t="s">
        <v>45</v>
      </c>
      <c r="G15" t="s">
        <v>15</v>
      </c>
      <c r="H15" t="s">
        <v>16</v>
      </c>
      <c r="I15">
        <v>70000</v>
      </c>
      <c r="J15" t="s">
        <v>17</v>
      </c>
      <c r="K15" t="s">
        <v>18</v>
      </c>
      <c r="L15" t="s">
        <v>79</v>
      </c>
      <c r="M15" t="s">
        <v>80</v>
      </c>
      <c r="N15" t="s">
        <v>81</v>
      </c>
      <c r="O15">
        <f t="shared" si="0"/>
        <v>55.15</v>
      </c>
      <c r="P15" t="s">
        <v>82</v>
      </c>
      <c r="Q15">
        <v>7</v>
      </c>
    </row>
    <row r="16" spans="1:17" x14ac:dyDescent="0.2">
      <c r="A16" t="s">
        <v>46</v>
      </c>
      <c r="B16" t="s">
        <v>42</v>
      </c>
      <c r="C16">
        <v>5</v>
      </c>
      <c r="D16" t="s">
        <v>43</v>
      </c>
      <c r="E16">
        <v>200</v>
      </c>
      <c r="F16" t="s">
        <v>47</v>
      </c>
      <c r="G16" t="s">
        <v>15</v>
      </c>
      <c r="H16" t="s">
        <v>16</v>
      </c>
      <c r="I16">
        <v>65000</v>
      </c>
      <c r="J16" t="s">
        <v>17</v>
      </c>
      <c r="K16" t="s">
        <v>18</v>
      </c>
      <c r="L16" t="s">
        <v>79</v>
      </c>
      <c r="M16" t="s">
        <v>80</v>
      </c>
      <c r="N16" t="s">
        <v>81</v>
      </c>
      <c r="O16">
        <f t="shared" si="0"/>
        <v>56.5</v>
      </c>
      <c r="P16" t="s">
        <v>82</v>
      </c>
      <c r="Q16">
        <v>7</v>
      </c>
    </row>
    <row r="17" spans="1:17" x14ac:dyDescent="0.2">
      <c r="A17" t="s">
        <v>48</v>
      </c>
      <c r="B17" t="s">
        <v>42</v>
      </c>
      <c r="C17">
        <v>5</v>
      </c>
      <c r="D17" t="s">
        <v>43</v>
      </c>
      <c r="E17">
        <v>220</v>
      </c>
      <c r="F17" t="s">
        <v>49</v>
      </c>
      <c r="G17" t="s">
        <v>15</v>
      </c>
      <c r="H17" t="s">
        <v>16</v>
      </c>
      <c r="I17">
        <v>50000</v>
      </c>
      <c r="J17" t="s">
        <v>17</v>
      </c>
      <c r="K17" t="s">
        <v>18</v>
      </c>
      <c r="L17" t="s">
        <v>79</v>
      </c>
      <c r="M17" t="s">
        <v>80</v>
      </c>
      <c r="N17" t="s">
        <v>81</v>
      </c>
      <c r="O17">
        <f t="shared" si="0"/>
        <v>57.85</v>
      </c>
      <c r="P17" t="s">
        <v>82</v>
      </c>
      <c r="Q17">
        <v>7</v>
      </c>
    </row>
    <row r="18" spans="1:17" x14ac:dyDescent="0.2">
      <c r="A18" t="s">
        <v>50</v>
      </c>
      <c r="B18" t="s">
        <v>42</v>
      </c>
      <c r="C18">
        <v>5</v>
      </c>
      <c r="D18" t="s">
        <v>43</v>
      </c>
      <c r="E18">
        <v>230</v>
      </c>
      <c r="F18" t="s">
        <v>51</v>
      </c>
      <c r="G18" t="s">
        <v>15</v>
      </c>
      <c r="H18" t="s">
        <v>16</v>
      </c>
      <c r="I18">
        <v>45000</v>
      </c>
      <c r="J18" t="s">
        <v>17</v>
      </c>
      <c r="K18" t="s">
        <v>18</v>
      </c>
      <c r="L18" t="s">
        <v>79</v>
      </c>
      <c r="M18" t="s">
        <v>80</v>
      </c>
      <c r="N18" t="s">
        <v>81</v>
      </c>
      <c r="O18">
        <f t="shared" si="0"/>
        <v>58.9</v>
      </c>
      <c r="P18" t="s">
        <v>82</v>
      </c>
      <c r="Q18">
        <v>7</v>
      </c>
    </row>
    <row r="19" spans="1:17" x14ac:dyDescent="0.2">
      <c r="A19" t="s">
        <v>52</v>
      </c>
      <c r="B19" t="s">
        <v>42</v>
      </c>
      <c r="C19">
        <v>5</v>
      </c>
      <c r="D19" t="s">
        <v>43</v>
      </c>
      <c r="E19">
        <v>250</v>
      </c>
      <c r="F19" t="s">
        <v>28</v>
      </c>
      <c r="G19" t="s">
        <v>15</v>
      </c>
      <c r="H19" t="s">
        <v>16</v>
      </c>
      <c r="I19">
        <v>35000</v>
      </c>
      <c r="J19" t="s">
        <v>17</v>
      </c>
      <c r="K19" t="s">
        <v>18</v>
      </c>
      <c r="L19" t="s">
        <v>79</v>
      </c>
      <c r="M19" t="s">
        <v>80</v>
      </c>
      <c r="N19" t="s">
        <v>81</v>
      </c>
      <c r="O19">
        <f t="shared" si="0"/>
        <v>60.25</v>
      </c>
      <c r="P19" t="s">
        <v>82</v>
      </c>
      <c r="Q19">
        <v>7</v>
      </c>
    </row>
    <row r="20" spans="1:17" x14ac:dyDescent="0.2">
      <c r="A20" t="s">
        <v>53</v>
      </c>
      <c r="B20" t="s">
        <v>54</v>
      </c>
      <c r="C20">
        <v>5</v>
      </c>
      <c r="D20" t="s">
        <v>55</v>
      </c>
      <c r="E20">
        <v>180</v>
      </c>
      <c r="F20" t="s">
        <v>45</v>
      </c>
      <c r="G20" t="s">
        <v>15</v>
      </c>
      <c r="H20" t="s">
        <v>16</v>
      </c>
      <c r="I20">
        <v>60000</v>
      </c>
      <c r="J20" t="s">
        <v>17</v>
      </c>
      <c r="K20" t="s">
        <v>18</v>
      </c>
      <c r="L20" t="s">
        <v>79</v>
      </c>
      <c r="M20" t="s">
        <v>80</v>
      </c>
      <c r="N20" t="s">
        <v>81</v>
      </c>
      <c r="O20">
        <f t="shared" si="0"/>
        <v>58.9</v>
      </c>
      <c r="P20" t="s">
        <v>82</v>
      </c>
      <c r="Q20">
        <v>7</v>
      </c>
    </row>
    <row r="21" spans="1:17" x14ac:dyDescent="0.2">
      <c r="A21" t="s">
        <v>56</v>
      </c>
      <c r="B21" t="s">
        <v>54</v>
      </c>
      <c r="C21">
        <v>5</v>
      </c>
      <c r="D21" t="s">
        <v>55</v>
      </c>
      <c r="E21">
        <v>200</v>
      </c>
      <c r="F21" t="s">
        <v>47</v>
      </c>
      <c r="G21" t="s">
        <v>15</v>
      </c>
      <c r="H21" t="s">
        <v>16</v>
      </c>
      <c r="I21">
        <v>55000</v>
      </c>
      <c r="J21" t="s">
        <v>17</v>
      </c>
      <c r="K21" t="s">
        <v>18</v>
      </c>
      <c r="L21" t="s">
        <v>79</v>
      </c>
      <c r="M21" t="s">
        <v>80</v>
      </c>
      <c r="N21" t="s">
        <v>81</v>
      </c>
      <c r="O21">
        <f t="shared" si="0"/>
        <v>60.25</v>
      </c>
      <c r="P21" t="s">
        <v>82</v>
      </c>
      <c r="Q21">
        <v>7</v>
      </c>
    </row>
    <row r="22" spans="1:17" x14ac:dyDescent="0.2">
      <c r="A22" t="s">
        <v>57</v>
      </c>
      <c r="B22" t="s">
        <v>54</v>
      </c>
      <c r="C22">
        <v>5</v>
      </c>
      <c r="D22" t="s">
        <v>55</v>
      </c>
      <c r="E22">
        <v>220</v>
      </c>
      <c r="F22" t="s">
        <v>51</v>
      </c>
      <c r="G22" t="s">
        <v>15</v>
      </c>
      <c r="H22" t="s">
        <v>16</v>
      </c>
      <c r="I22">
        <v>40000</v>
      </c>
      <c r="J22" t="s">
        <v>17</v>
      </c>
      <c r="K22" t="s">
        <v>18</v>
      </c>
      <c r="L22" t="s">
        <v>79</v>
      </c>
      <c r="M22" t="s">
        <v>80</v>
      </c>
      <c r="N22" t="s">
        <v>81</v>
      </c>
      <c r="O22">
        <f t="shared" si="0"/>
        <v>61.6</v>
      </c>
      <c r="P22" t="s">
        <v>82</v>
      </c>
      <c r="Q22">
        <v>7</v>
      </c>
    </row>
    <row r="23" spans="1:17" x14ac:dyDescent="0.2">
      <c r="A23" t="s">
        <v>58</v>
      </c>
      <c r="B23" t="s">
        <v>54</v>
      </c>
      <c r="C23">
        <v>5</v>
      </c>
      <c r="D23" t="s">
        <v>55</v>
      </c>
      <c r="E23">
        <v>240</v>
      </c>
      <c r="F23" t="s">
        <v>28</v>
      </c>
      <c r="G23" t="s">
        <v>15</v>
      </c>
      <c r="H23" t="s">
        <v>16</v>
      </c>
      <c r="I23">
        <v>30000</v>
      </c>
      <c r="J23" t="s">
        <v>17</v>
      </c>
      <c r="K23" t="s">
        <v>18</v>
      </c>
      <c r="L23" t="s">
        <v>79</v>
      </c>
      <c r="M23" t="s">
        <v>80</v>
      </c>
      <c r="N23" t="s">
        <v>81</v>
      </c>
      <c r="O23">
        <f t="shared" si="0"/>
        <v>62.95</v>
      </c>
      <c r="P23" t="s">
        <v>82</v>
      </c>
      <c r="Q23">
        <v>7</v>
      </c>
    </row>
    <row r="24" spans="1:17" x14ac:dyDescent="0.2">
      <c r="A24" t="s">
        <v>59</v>
      </c>
      <c r="B24" t="s">
        <v>60</v>
      </c>
      <c r="C24">
        <v>3</v>
      </c>
      <c r="D24" t="s">
        <v>61</v>
      </c>
      <c r="E24">
        <v>120</v>
      </c>
      <c r="F24" t="s">
        <v>14</v>
      </c>
      <c r="G24" t="s">
        <v>62</v>
      </c>
      <c r="H24" t="s">
        <v>16</v>
      </c>
      <c r="I24">
        <v>95000</v>
      </c>
      <c r="J24" t="s">
        <v>17</v>
      </c>
      <c r="K24" t="s">
        <v>18</v>
      </c>
      <c r="L24" t="s">
        <v>79</v>
      </c>
      <c r="M24" t="s">
        <v>80</v>
      </c>
      <c r="N24" t="s">
        <v>81</v>
      </c>
      <c r="O24">
        <f t="shared" si="0"/>
        <v>56.1</v>
      </c>
      <c r="P24" t="s">
        <v>82</v>
      </c>
      <c r="Q24">
        <v>7</v>
      </c>
    </row>
    <row r="25" spans="1:17" x14ac:dyDescent="0.2">
      <c r="A25" t="s">
        <v>63</v>
      </c>
      <c r="B25" t="s">
        <v>60</v>
      </c>
      <c r="C25">
        <v>3</v>
      </c>
      <c r="D25" t="s">
        <v>61</v>
      </c>
      <c r="E25">
        <v>140</v>
      </c>
      <c r="F25" t="s">
        <v>22</v>
      </c>
      <c r="G25" t="s">
        <v>62</v>
      </c>
      <c r="H25" t="s">
        <v>16</v>
      </c>
      <c r="I25">
        <v>80000</v>
      </c>
      <c r="J25" t="s">
        <v>17</v>
      </c>
      <c r="K25" t="s">
        <v>18</v>
      </c>
      <c r="L25" t="s">
        <v>79</v>
      </c>
      <c r="M25" t="s">
        <v>80</v>
      </c>
      <c r="N25" t="s">
        <v>81</v>
      </c>
      <c r="O25">
        <f t="shared" si="0"/>
        <v>57.45</v>
      </c>
      <c r="P25" t="s">
        <v>82</v>
      </c>
      <c r="Q25">
        <v>7</v>
      </c>
    </row>
    <row r="26" spans="1:17" x14ac:dyDescent="0.2">
      <c r="A26" t="s">
        <v>64</v>
      </c>
      <c r="B26" t="s">
        <v>60</v>
      </c>
      <c r="C26">
        <v>3</v>
      </c>
      <c r="D26" t="s">
        <v>61</v>
      </c>
      <c r="E26">
        <v>150</v>
      </c>
      <c r="F26" t="s">
        <v>24</v>
      </c>
      <c r="G26" t="s">
        <v>65</v>
      </c>
      <c r="H26" t="s">
        <v>16</v>
      </c>
      <c r="I26">
        <v>65000</v>
      </c>
      <c r="J26" t="s">
        <v>17</v>
      </c>
      <c r="K26" t="s">
        <v>18</v>
      </c>
      <c r="L26" t="s">
        <v>79</v>
      </c>
      <c r="M26" t="s">
        <v>80</v>
      </c>
      <c r="N26" t="s">
        <v>81</v>
      </c>
      <c r="O26">
        <f t="shared" si="0"/>
        <v>58.5</v>
      </c>
      <c r="P26" t="s">
        <v>82</v>
      </c>
      <c r="Q26">
        <v>7</v>
      </c>
    </row>
    <row r="27" spans="1:17" x14ac:dyDescent="0.2">
      <c r="A27" t="s">
        <v>66</v>
      </c>
      <c r="B27" t="s">
        <v>60</v>
      </c>
      <c r="C27">
        <v>3</v>
      </c>
      <c r="D27" t="s">
        <v>61</v>
      </c>
      <c r="E27">
        <v>160</v>
      </c>
      <c r="F27" t="s">
        <v>26</v>
      </c>
      <c r="G27" t="s">
        <v>65</v>
      </c>
      <c r="H27" t="s">
        <v>16</v>
      </c>
      <c r="I27">
        <v>50000</v>
      </c>
      <c r="J27" t="s">
        <v>17</v>
      </c>
      <c r="K27" t="s">
        <v>18</v>
      </c>
      <c r="L27" t="s">
        <v>79</v>
      </c>
      <c r="M27" t="s">
        <v>80</v>
      </c>
      <c r="N27" t="s">
        <v>81</v>
      </c>
      <c r="O27">
        <f t="shared" si="0"/>
        <v>59.55</v>
      </c>
      <c r="P27" t="s">
        <v>82</v>
      </c>
      <c r="Q27">
        <v>7</v>
      </c>
    </row>
    <row r="28" spans="1:17" x14ac:dyDescent="0.2">
      <c r="A28" t="s">
        <v>67</v>
      </c>
      <c r="B28" t="s">
        <v>68</v>
      </c>
      <c r="C28">
        <v>5</v>
      </c>
      <c r="D28" t="s">
        <v>43</v>
      </c>
      <c r="E28">
        <v>180</v>
      </c>
      <c r="F28" t="s">
        <v>22</v>
      </c>
      <c r="G28" t="s">
        <v>15</v>
      </c>
      <c r="H28" t="s">
        <v>69</v>
      </c>
      <c r="I28">
        <v>70000</v>
      </c>
      <c r="J28" t="s">
        <v>17</v>
      </c>
      <c r="K28" t="s">
        <v>18</v>
      </c>
      <c r="L28" t="s">
        <v>79</v>
      </c>
      <c r="M28" t="s">
        <v>80</v>
      </c>
      <c r="N28" t="s">
        <v>81</v>
      </c>
      <c r="O28">
        <f t="shared" si="0"/>
        <v>68.900000000000006</v>
      </c>
      <c r="P28" t="s">
        <v>82</v>
      </c>
      <c r="Q28">
        <v>7</v>
      </c>
    </row>
    <row r="29" spans="1:17" x14ac:dyDescent="0.2">
      <c r="A29" t="s">
        <v>70</v>
      </c>
      <c r="B29" t="s">
        <v>68</v>
      </c>
      <c r="C29">
        <v>5</v>
      </c>
      <c r="D29" t="s">
        <v>43</v>
      </c>
      <c r="E29">
        <v>200</v>
      </c>
      <c r="F29" t="s">
        <v>47</v>
      </c>
      <c r="G29" t="s">
        <v>15</v>
      </c>
      <c r="H29" t="s">
        <v>69</v>
      </c>
      <c r="I29">
        <v>60000</v>
      </c>
      <c r="J29" t="s">
        <v>17</v>
      </c>
      <c r="K29" t="s">
        <v>18</v>
      </c>
      <c r="L29" t="s">
        <v>79</v>
      </c>
      <c r="M29" t="s">
        <v>80</v>
      </c>
      <c r="N29" t="s">
        <v>81</v>
      </c>
      <c r="O29">
        <f t="shared" si="0"/>
        <v>70.25</v>
      </c>
      <c r="P29" t="s">
        <v>82</v>
      </c>
      <c r="Q29">
        <v>7</v>
      </c>
    </row>
    <row r="30" spans="1:17" x14ac:dyDescent="0.2">
      <c r="A30" t="s">
        <v>71</v>
      </c>
      <c r="B30" t="s">
        <v>68</v>
      </c>
      <c r="C30">
        <v>5</v>
      </c>
      <c r="D30" t="s">
        <v>43</v>
      </c>
      <c r="E30">
        <v>220</v>
      </c>
      <c r="F30" t="s">
        <v>51</v>
      </c>
      <c r="G30" t="s">
        <v>15</v>
      </c>
      <c r="H30" t="s">
        <v>69</v>
      </c>
      <c r="I30">
        <v>45000</v>
      </c>
      <c r="J30" t="s">
        <v>17</v>
      </c>
      <c r="K30" t="s">
        <v>18</v>
      </c>
      <c r="L30" t="s">
        <v>79</v>
      </c>
      <c r="M30" t="s">
        <v>80</v>
      </c>
      <c r="N30" t="s">
        <v>81</v>
      </c>
      <c r="O30">
        <f t="shared" si="0"/>
        <v>71.599999999999994</v>
      </c>
      <c r="P30" t="s">
        <v>82</v>
      </c>
      <c r="Q30">
        <v>7</v>
      </c>
    </row>
    <row r="31" spans="1:17" x14ac:dyDescent="0.2">
      <c r="A31" t="s">
        <v>72</v>
      </c>
      <c r="B31" t="s">
        <v>68</v>
      </c>
      <c r="C31">
        <v>5</v>
      </c>
      <c r="D31" t="s">
        <v>43</v>
      </c>
      <c r="E31">
        <v>250</v>
      </c>
      <c r="F31" t="s">
        <v>28</v>
      </c>
      <c r="G31" t="s">
        <v>15</v>
      </c>
      <c r="H31" t="s">
        <v>69</v>
      </c>
      <c r="I31">
        <v>35000</v>
      </c>
      <c r="J31" t="s">
        <v>17</v>
      </c>
      <c r="K31" t="s">
        <v>18</v>
      </c>
      <c r="L31" t="s">
        <v>79</v>
      </c>
      <c r="M31" t="s">
        <v>80</v>
      </c>
      <c r="N31" t="s">
        <v>81</v>
      </c>
      <c r="O31">
        <f t="shared" si="0"/>
        <v>73.25</v>
      </c>
      <c r="P31" t="s">
        <v>82</v>
      </c>
      <c r="Q31">
        <v>7</v>
      </c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A668-FF87-5443-8567-682537B90D48}">
  <dimension ref="A1:C11"/>
  <sheetViews>
    <sheetView workbookViewId="0">
      <selection activeCell="I20" sqref="I20"/>
    </sheetView>
  </sheetViews>
  <sheetFormatPr baseColWidth="10" defaultRowHeight="16" x14ac:dyDescent="0.2"/>
  <cols>
    <col min="2" max="2" width="24" bestFit="1" customWidth="1"/>
  </cols>
  <sheetData>
    <row r="1" spans="1:3" x14ac:dyDescent="0.2">
      <c r="A1" t="s">
        <v>83</v>
      </c>
      <c r="B1" t="s">
        <v>84</v>
      </c>
      <c r="C1" t="s">
        <v>85</v>
      </c>
    </row>
    <row r="2" spans="1:3" x14ac:dyDescent="0.2">
      <c r="A2" t="s">
        <v>86</v>
      </c>
      <c r="B2" t="s">
        <v>69</v>
      </c>
      <c r="C2" t="s">
        <v>87</v>
      </c>
    </row>
    <row r="3" spans="1:3" x14ac:dyDescent="0.2">
      <c r="A3" t="s">
        <v>88</v>
      </c>
      <c r="B3" t="s">
        <v>69</v>
      </c>
      <c r="C3" t="s">
        <v>89</v>
      </c>
    </row>
    <row r="4" spans="1:3" x14ac:dyDescent="0.2">
      <c r="A4" t="s">
        <v>90</v>
      </c>
      <c r="B4" t="s">
        <v>69</v>
      </c>
      <c r="C4" t="s">
        <v>91</v>
      </c>
    </row>
    <row r="5" spans="1:3" x14ac:dyDescent="0.2">
      <c r="A5" t="s">
        <v>92</v>
      </c>
      <c r="B5" t="s">
        <v>69</v>
      </c>
      <c r="C5" t="s">
        <v>93</v>
      </c>
    </row>
    <row r="6" spans="1:3" x14ac:dyDescent="0.2">
      <c r="A6" t="s">
        <v>94</v>
      </c>
      <c r="B6">
        <v>850000</v>
      </c>
      <c r="C6" t="s">
        <v>95</v>
      </c>
    </row>
    <row r="7" spans="1:3" x14ac:dyDescent="0.2">
      <c r="A7" t="s">
        <v>96</v>
      </c>
      <c r="B7">
        <v>7</v>
      </c>
      <c r="C7" t="s">
        <v>97</v>
      </c>
    </row>
    <row r="8" spans="1:3" x14ac:dyDescent="0.2">
      <c r="A8" t="s">
        <v>98</v>
      </c>
      <c r="B8" t="s">
        <v>69</v>
      </c>
      <c r="C8" t="s">
        <v>99</v>
      </c>
    </row>
    <row r="9" spans="1:3" x14ac:dyDescent="0.2">
      <c r="A9" t="s">
        <v>100</v>
      </c>
      <c r="B9" t="s">
        <v>101</v>
      </c>
      <c r="C9" t="s">
        <v>102</v>
      </c>
    </row>
    <row r="10" spans="1:3" x14ac:dyDescent="0.2">
      <c r="A10" t="s">
        <v>103</v>
      </c>
      <c r="B10" t="s">
        <v>104</v>
      </c>
      <c r="C10" t="s">
        <v>105</v>
      </c>
    </row>
    <row r="11" spans="1:3" x14ac:dyDescent="0.2">
      <c r="A11" t="s">
        <v>106</v>
      </c>
      <c r="B11" t="s">
        <v>69</v>
      </c>
      <c r="C11" t="s">
        <v>107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PackRight_Quote.xlsx</vt:lpstr>
      <vt:lpstr>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Nagarajan Krishnasamy</cp:lastModifiedBy>
  <dcterms:created xsi:type="dcterms:W3CDTF">2026-09-24T15:05:44Z</dcterms:created>
  <dcterms:modified xsi:type="dcterms:W3CDTF">2026-09-24T17:00:45Z</dcterms:modified>
</cp:coreProperties>
</file>